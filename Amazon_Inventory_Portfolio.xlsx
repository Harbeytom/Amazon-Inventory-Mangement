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BA Inventory" sheetId="2" state="visible" r:id="rId2"/>
    <sheet xmlns:r="http://schemas.openxmlformats.org/officeDocument/2006/relationships" name="FBM Inventory" sheetId="3" state="visible" r:id="rId3"/>
    <sheet xmlns:r="http://schemas.openxmlformats.org/officeDocument/2006/relationships" name="Replenishment" sheetId="4" state="visible" r:id="rId4"/>
  </sheets>
  <definedNames>
    <definedName name="_xlnm._FilterDatabase" localSheetId="1" hidden="1">'FBA Inventory'!$A$1:$O$6</definedName>
    <definedName name="_xlnm._FilterDatabase" localSheetId="2" hidden="1">'FBM Inventory'!$A$1:$O$5</definedName>
    <definedName name="_xlnm._FilterDatabase" localSheetId="3" hidden="1">'Replenishment'!$A$1:$M$10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32" customHeight="1">
      <c r="A1" s="1" t="inlineStr">
        <is>
          <t>Amazon Inventory Management Portfolio</t>
        </is>
      </c>
      <c r="B1" s="1" t="n"/>
    </row>
    <row r="2">
      <c r="A2" s="2" t="inlineStr">
        <is>
          <t>Purpose</t>
        </is>
      </c>
      <c r="B2" s="2" t="inlineStr">
        <is>
          <t>Sample portfolio workbook using fictional data. Not connected to Amazon Seller Central.</t>
        </is>
      </c>
    </row>
    <row r="3">
      <c r="A3" s="2" t="inlineStr">
        <is>
          <t>Worksheets</t>
        </is>
      </c>
      <c r="B3" s="2" t="inlineStr">
        <is>
          <t>FBA Inventory | FBM Inventory | Replenishment</t>
        </is>
      </c>
    </row>
    <row r="4">
      <c r="A4" s="2" t="inlineStr">
        <is>
          <t>Core calculations</t>
        </is>
      </c>
      <c r="B4" s="2" t="inlineStr">
        <is>
          <t>Days of cover, reorder point, target stock, suggested reorder quantity.</t>
        </is>
      </c>
    </row>
    <row r="5">
      <c r="A5" s="2" t="inlineStr">
        <is>
          <t>Important</t>
        </is>
      </c>
      <c r="B5" s="2" t="inlineStr">
        <is>
          <t>Validate assumptions and live inventory data before operational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1" customWidth="1" min="3" max="3"/>
    <col width="14" customWidth="1" min="4" max="4"/>
    <col width="17" customWidth="1" min="5" max="5"/>
    <col width="17" customWidth="1" min="6" max="6"/>
    <col width="27" customWidth="1" min="7" max="7"/>
    <col width="21" customWidth="1" min="8" max="8"/>
    <col width="24" customWidth="1" min="9" max="9"/>
    <col width="22" customWidth="1" min="10" max="10"/>
    <col width="15" customWidth="1" min="11" max="11"/>
    <col width="25" customWidth="1" min="12" max="12"/>
    <col width="21" customWidth="1" min="13" max="13"/>
    <col width="25" customWidth="1" min="14" max="14"/>
    <col width="20" customWidth="1" min="15" max="15"/>
  </cols>
  <sheetData>
    <row r="1" ht="32" customHeight="1">
      <c r="A1" s="1" t="inlineStr">
        <is>
          <t>SKU</t>
        </is>
      </c>
      <c r="B1" s="1" t="inlineStr">
        <is>
          <t>ASIN (fictional placeholder)</t>
        </is>
      </c>
      <c r="C1" s="1" t="inlineStr">
        <is>
          <t>Product</t>
        </is>
      </c>
      <c r="D1" s="1" t="inlineStr">
        <is>
          <t>Fulfillment</t>
        </is>
      </c>
      <c r="E1" s="1" t="inlineStr">
        <is>
          <t>Available Units</t>
        </is>
      </c>
      <c r="F1" s="1" t="inlineStr">
        <is>
          <t>Avg Daily Sales</t>
        </is>
      </c>
      <c r="G1" s="1" t="inlineStr">
        <is>
          <t>Supplier Lead Time (days)</t>
        </is>
      </c>
      <c r="H1" s="1" t="inlineStr">
        <is>
          <t>Safety Stock (days)</t>
        </is>
      </c>
      <c r="I1" s="1" t="inlineStr">
        <is>
          <t>Target Coverage (days)</t>
        </is>
      </c>
      <c r="J1" s="1" t="inlineStr">
        <is>
          <t>Review Period (days)</t>
        </is>
      </c>
      <c r="K1" s="1" t="inlineStr">
        <is>
          <t>Inbound Units</t>
        </is>
      </c>
      <c r="L1" s="1" t="inlineStr">
        <is>
          <t>Estimated Days of Cover</t>
        </is>
      </c>
      <c r="M1" s="1" t="inlineStr">
        <is>
          <t>Reorder Point Units</t>
        </is>
      </c>
      <c r="N1" s="1" t="inlineStr">
        <is>
          <t>Suggested Reorder Units</t>
        </is>
      </c>
      <c r="O1" s="1" t="inlineStr">
        <is>
          <t>Review Status</t>
        </is>
      </c>
    </row>
    <row r="2">
      <c r="A2" s="2" t="inlineStr">
        <is>
          <t>SKU-COF-001</t>
        </is>
      </c>
      <c r="B2" s="2" t="inlineStr">
        <is>
          <t>B0DEMO1001</t>
        </is>
      </c>
      <c r="C2" s="2" t="inlineStr">
        <is>
          <t>Stainless Coffee Tumbler 20oz</t>
        </is>
      </c>
      <c r="D2" s="2" t="inlineStr">
        <is>
          <t>FBA</t>
        </is>
      </c>
      <c r="E2" s="2" t="n">
        <v>185</v>
      </c>
      <c r="F2" s="2" t="n">
        <v>24</v>
      </c>
      <c r="G2" s="2" t="n">
        <v>12</v>
      </c>
      <c r="H2" s="2" t="n">
        <v>14</v>
      </c>
      <c r="I2" s="2" t="n">
        <v>30</v>
      </c>
      <c r="J2" s="2" t="n">
        <v>35</v>
      </c>
      <c r="K2" s="2" t="n">
        <v>4</v>
      </c>
      <c r="L2" s="2">
        <f>IFERROR(E2/F2,0)</f>
        <v/>
      </c>
      <c r="M2" s="2">
        <f>F2*(G2+H2)</f>
        <v/>
      </c>
      <c r="N2" s="2">
        <f>MAX(0,F2*(G2+H2+I2)-E2-K2)</f>
        <v/>
      </c>
      <c r="O2" s="2">
        <f>IF(E2+K2&lt;=L2,"REVIEW RESTOCK",IF(M2&lt;G2+H2+7,"MONITOR","OK"))</f>
        <v/>
      </c>
    </row>
    <row r="3">
      <c r="A3" s="2" t="inlineStr">
        <is>
          <t>SKU-YOG-002</t>
        </is>
      </c>
      <c r="B3" s="2" t="inlineStr">
        <is>
          <t>B0DEMO1002</t>
        </is>
      </c>
      <c r="C3" s="2" t="inlineStr">
        <is>
          <t>Non-slip Yoga Mat</t>
        </is>
      </c>
      <c r="D3" s="2" t="inlineStr">
        <is>
          <t>FBA</t>
        </is>
      </c>
      <c r="E3" s="2" t="n">
        <v>42</v>
      </c>
      <c r="F3" s="2" t="n">
        <v>18</v>
      </c>
      <c r="G3" s="2" t="n">
        <v>9</v>
      </c>
      <c r="H3" s="2" t="n">
        <v>7</v>
      </c>
      <c r="I3" s="2" t="n">
        <v>30</v>
      </c>
      <c r="J3" s="2" t="n">
        <v>35</v>
      </c>
      <c r="K3" s="2" t="n">
        <v>5</v>
      </c>
      <c r="L3" s="2">
        <f>IFERROR(E3/F3,0)</f>
        <v/>
      </c>
      <c r="M3" s="2">
        <f>F3*(G3+H3)</f>
        <v/>
      </c>
      <c r="N3" s="2">
        <f>MAX(0,F3*(G3+H3+I3)-E3-K3)</f>
        <v/>
      </c>
      <c r="O3" s="2">
        <f>IF(E3+K3&lt;=L3,"REVIEW RESTOCK",IF(M3&lt;G3+H3+7,"MONITOR","OK"))</f>
        <v/>
      </c>
    </row>
    <row r="4">
      <c r="A4" s="2" t="inlineStr">
        <is>
          <t>SKU-DES-003</t>
        </is>
      </c>
      <c r="B4" s="2" t="inlineStr">
        <is>
          <t>B0DEMO1003</t>
        </is>
      </c>
      <c r="C4" s="2" t="inlineStr">
        <is>
          <t>Desk Organizer Set</t>
        </is>
      </c>
      <c r="D4" s="2" t="inlineStr">
        <is>
          <t>FBA</t>
        </is>
      </c>
      <c r="E4" s="2" t="n">
        <v>96</v>
      </c>
      <c r="F4" s="2" t="n">
        <v>10</v>
      </c>
      <c r="G4" s="2" t="n">
        <v>5</v>
      </c>
      <c r="H4" s="2" t="n">
        <v>12</v>
      </c>
      <c r="I4" s="2" t="n">
        <v>30</v>
      </c>
      <c r="J4" s="2" t="n">
        <v>35</v>
      </c>
      <c r="K4" s="2" t="n">
        <v>7</v>
      </c>
      <c r="L4" s="2">
        <f>IFERROR(E4/F4,0)</f>
        <v/>
      </c>
      <c r="M4" s="2">
        <f>F4*(G4+H4)</f>
        <v/>
      </c>
      <c r="N4" s="2">
        <f>MAX(0,F4*(G4+H4+I4)-E4-K4)</f>
        <v/>
      </c>
      <c r="O4" s="2">
        <f>IF(E4+K4&lt;=L4,"REVIEW RESTOCK",IF(M4&lt;G4+H4+7,"MONITOR","OK"))</f>
        <v/>
      </c>
    </row>
    <row r="5">
      <c r="A5" s="2" t="inlineStr">
        <is>
          <t>SKU-PET-004</t>
        </is>
      </c>
      <c r="B5" s="2" t="inlineStr">
        <is>
          <t>B0DEMO1004</t>
        </is>
      </c>
      <c r="C5" s="2" t="inlineStr">
        <is>
          <t>Pet Grooming Brush</t>
        </is>
      </c>
      <c r="D5" s="2" t="inlineStr">
        <is>
          <t>FBA</t>
        </is>
      </c>
      <c r="E5" s="2" t="n">
        <v>17</v>
      </c>
      <c r="F5" s="2" t="n">
        <v>15</v>
      </c>
      <c r="G5" s="2" t="n">
        <v>8</v>
      </c>
      <c r="H5" s="2" t="n">
        <v>6</v>
      </c>
      <c r="I5" s="2" t="n">
        <v>30</v>
      </c>
      <c r="J5" s="2" t="n">
        <v>35</v>
      </c>
      <c r="K5" s="2" t="n">
        <v>5</v>
      </c>
      <c r="L5" s="2">
        <f>IFERROR(E5/F5,0)</f>
        <v/>
      </c>
      <c r="M5" s="2">
        <f>F5*(G5+H5)</f>
        <v/>
      </c>
      <c r="N5" s="2">
        <f>MAX(0,F5*(G5+H5+I5)-E5-K5)</f>
        <v/>
      </c>
      <c r="O5" s="2">
        <f>IF(E5+K5&lt;=L5,"REVIEW RESTOCK",IF(M5&lt;G5+H5+7,"MONITOR","OK"))</f>
        <v/>
      </c>
    </row>
    <row r="6">
      <c r="A6" s="2" t="inlineStr">
        <is>
          <t>SKU-KIT-005</t>
        </is>
      </c>
      <c r="B6" s="2" t="inlineStr">
        <is>
          <t>B0DEMO1005</t>
        </is>
      </c>
      <c r="C6" s="2" t="inlineStr">
        <is>
          <t>Silicone Kitchen Spatula Set</t>
        </is>
      </c>
      <c r="D6" s="2" t="inlineStr">
        <is>
          <t>FBA</t>
        </is>
      </c>
      <c r="E6" s="2" t="n">
        <v>260</v>
      </c>
      <c r="F6" s="2" t="n">
        <v>20</v>
      </c>
      <c r="G6" s="2" t="n">
        <v>10</v>
      </c>
      <c r="H6" s="2" t="n">
        <v>11</v>
      </c>
      <c r="I6" s="2" t="n">
        <v>30</v>
      </c>
      <c r="J6" s="2" t="n">
        <v>35</v>
      </c>
      <c r="K6" s="2" t="n">
        <v>6</v>
      </c>
      <c r="L6" s="2">
        <f>IFERROR(E6/F6,0)</f>
        <v/>
      </c>
      <c r="M6" s="2">
        <f>F6*(G6+H6)</f>
        <v/>
      </c>
      <c r="N6" s="2">
        <f>MAX(0,F6*(G6+H6+I6)-E6-K6)</f>
        <v/>
      </c>
      <c r="O6" s="2">
        <f>IF(E6+K6&lt;=L6,"REVIEW RESTOCK",IF(M6&lt;G6+H6+7,"MONITOR","OK"))</f>
        <v/>
      </c>
    </row>
  </sheetData>
  <autoFilter ref="A1:O6"/>
  <conditionalFormatting sqref="O2:O6">
    <cfRule type="cellIs" priority="1" operator="equal" dxfId="0">
      <formula>"REVIEW RESTOCK"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3" customWidth="1" min="3" max="3"/>
    <col width="14" customWidth="1" min="4" max="4"/>
    <col width="17" customWidth="1" min="5" max="5"/>
    <col width="17" customWidth="1" min="6" max="6"/>
    <col width="27" customWidth="1" min="7" max="7"/>
    <col width="21" customWidth="1" min="8" max="8"/>
    <col width="24" customWidth="1" min="9" max="9"/>
    <col width="22" customWidth="1" min="10" max="10"/>
    <col width="15" customWidth="1" min="11" max="11"/>
    <col width="25" customWidth="1" min="12" max="12"/>
    <col width="21" customWidth="1" min="13" max="13"/>
    <col width="25" customWidth="1" min="14" max="14"/>
    <col width="20" customWidth="1" min="15" max="15"/>
  </cols>
  <sheetData>
    <row r="1" ht="32" customHeight="1">
      <c r="A1" s="1" t="inlineStr">
        <is>
          <t>SKU</t>
        </is>
      </c>
      <c r="B1" s="1" t="inlineStr">
        <is>
          <t>ASIN (fictional placeholder)</t>
        </is>
      </c>
      <c r="C1" s="1" t="inlineStr">
        <is>
          <t>Product</t>
        </is>
      </c>
      <c r="D1" s="1" t="inlineStr">
        <is>
          <t>Fulfillment</t>
        </is>
      </c>
      <c r="E1" s="1" t="inlineStr">
        <is>
          <t>Available Units</t>
        </is>
      </c>
      <c r="F1" s="1" t="inlineStr">
        <is>
          <t>Avg Daily Sales</t>
        </is>
      </c>
      <c r="G1" s="1" t="inlineStr">
        <is>
          <t>Supplier Lead Time (days)</t>
        </is>
      </c>
      <c r="H1" s="1" t="inlineStr">
        <is>
          <t>Safety Stock (days)</t>
        </is>
      </c>
      <c r="I1" s="1" t="inlineStr">
        <is>
          <t>Target Coverage (days)</t>
        </is>
      </c>
      <c r="J1" s="1" t="inlineStr">
        <is>
          <t>Review Period (days)</t>
        </is>
      </c>
      <c r="K1" s="1" t="inlineStr">
        <is>
          <t>Inbound Units</t>
        </is>
      </c>
      <c r="L1" s="1" t="inlineStr">
        <is>
          <t>Estimated Days of Cover</t>
        </is>
      </c>
      <c r="M1" s="1" t="inlineStr">
        <is>
          <t>Reorder Point Units</t>
        </is>
      </c>
      <c r="N1" s="1" t="inlineStr">
        <is>
          <t>Suggested Reorder Units</t>
        </is>
      </c>
      <c r="O1" s="1" t="inlineStr">
        <is>
          <t>Review Status</t>
        </is>
      </c>
    </row>
    <row r="2">
      <c r="A2" s="2" t="inlineStr">
        <is>
          <t>SKU-LMP-101</t>
        </is>
      </c>
      <c r="B2" s="2" t="inlineStr">
        <is>
          <t>B0DEMO2001</t>
        </is>
      </c>
      <c r="C2" s="2" t="inlineStr">
        <is>
          <t>LED Desk Lamp</t>
        </is>
      </c>
      <c r="D2" s="2" t="inlineStr">
        <is>
          <t>FBM</t>
        </is>
      </c>
      <c r="E2" s="2" t="n">
        <v>38</v>
      </c>
      <c r="F2" s="2" t="n">
        <v>8</v>
      </c>
      <c r="G2" s="2" t="n">
        <v>4</v>
      </c>
      <c r="H2" s="2" t="n">
        <v>9</v>
      </c>
      <c r="I2" s="2" t="n">
        <v>30</v>
      </c>
      <c r="J2" s="2" t="n">
        <v>28</v>
      </c>
      <c r="K2" s="2" t="n">
        <v>5</v>
      </c>
      <c r="L2" s="2">
        <f>IFERROR(E2/F2,0)</f>
        <v/>
      </c>
      <c r="M2" s="2">
        <f>F2*(G2+H2)</f>
        <v/>
      </c>
      <c r="N2" s="2">
        <f>MAX(0,F2*(G2+H2+I2)-E2-K2)</f>
        <v/>
      </c>
      <c r="O2" s="2">
        <f>IF(E2+K2&lt;=L2,"REVIEW RESTOCK",IF(M2&lt;G2+H2+7,"MONITOR","OK"))</f>
        <v/>
      </c>
    </row>
    <row r="3">
      <c r="A3" s="2" t="inlineStr">
        <is>
          <t>SKU-CAB-102</t>
        </is>
      </c>
      <c r="B3" s="2" t="inlineStr">
        <is>
          <t>B0DEMO2002</t>
        </is>
      </c>
      <c r="C3" s="2" t="inlineStr">
        <is>
          <t>Cable Organizer Clips</t>
        </is>
      </c>
      <c r="D3" s="2" t="inlineStr">
        <is>
          <t>FBM</t>
        </is>
      </c>
      <c r="E3" s="2" t="n">
        <v>21</v>
      </c>
      <c r="F3" s="2" t="n">
        <v>12</v>
      </c>
      <c r="G3" s="2" t="n">
        <v>6</v>
      </c>
      <c r="H3" s="2" t="n">
        <v>6</v>
      </c>
      <c r="I3" s="2" t="n">
        <v>30</v>
      </c>
      <c r="J3" s="2" t="n">
        <v>28</v>
      </c>
      <c r="K3" s="2" t="n">
        <v>4</v>
      </c>
      <c r="L3" s="2">
        <f>IFERROR(E3/F3,0)</f>
        <v/>
      </c>
      <c r="M3" s="2">
        <f>F3*(G3+H3)</f>
        <v/>
      </c>
      <c r="N3" s="2">
        <f>MAX(0,F3*(G3+H3+I3)-E3-K3)</f>
        <v/>
      </c>
      <c r="O3" s="2">
        <f>IF(E3+K3&lt;=L3,"REVIEW RESTOCK",IF(M3&lt;G3+H3+7,"MONITOR","OK"))</f>
        <v/>
      </c>
    </row>
    <row r="4">
      <c r="A4" s="2" t="inlineStr">
        <is>
          <t>SKU-BTL-103</t>
        </is>
      </c>
      <c r="B4" s="2" t="inlineStr">
        <is>
          <t>B0DEMO2003</t>
        </is>
      </c>
      <c r="C4" s="2" t="inlineStr">
        <is>
          <t>Reusable Water Bottle</t>
        </is>
      </c>
      <c r="D4" s="2" t="inlineStr">
        <is>
          <t>FBM</t>
        </is>
      </c>
      <c r="E4" s="2" t="n">
        <v>75</v>
      </c>
      <c r="F4" s="2" t="n">
        <v>9</v>
      </c>
      <c r="G4" s="2" t="n">
        <v>5</v>
      </c>
      <c r="H4" s="2" t="n">
        <v>8</v>
      </c>
      <c r="I4" s="2" t="n">
        <v>30</v>
      </c>
      <c r="J4" s="2" t="n">
        <v>28</v>
      </c>
      <c r="K4" s="2" t="n">
        <v>6</v>
      </c>
      <c r="L4" s="2">
        <f>IFERROR(E4/F4,0)</f>
        <v/>
      </c>
      <c r="M4" s="2">
        <f>F4*(G4+H4)</f>
        <v/>
      </c>
      <c r="N4" s="2">
        <f>MAX(0,F4*(G4+H4+I4)-E4-K4)</f>
        <v/>
      </c>
      <c r="O4" s="2">
        <f>IF(E4+K4&lt;=L4,"REVIEW RESTOCK",IF(M4&lt;G4+H4+7,"MONITOR","OK"))</f>
        <v/>
      </c>
    </row>
    <row r="5">
      <c r="A5" s="2" t="inlineStr">
        <is>
          <t>SKU-NOT-104</t>
        </is>
      </c>
      <c r="B5" s="2" t="inlineStr">
        <is>
          <t>B0DEMO2004</t>
        </is>
      </c>
      <c r="C5" s="2" t="inlineStr">
        <is>
          <t>Notebook 3-Pack</t>
        </is>
      </c>
      <c r="D5" s="2" t="inlineStr">
        <is>
          <t>FBM</t>
        </is>
      </c>
      <c r="E5" s="2" t="n">
        <v>14</v>
      </c>
      <c r="F5" s="2" t="n">
        <v>7</v>
      </c>
      <c r="G5" s="2" t="n">
        <v>4</v>
      </c>
      <c r="H5" s="2" t="n">
        <v>5</v>
      </c>
      <c r="I5" s="2" t="n">
        <v>30</v>
      </c>
      <c r="J5" s="2" t="n">
        <v>28</v>
      </c>
      <c r="K5" s="2" t="n">
        <v>3</v>
      </c>
      <c r="L5" s="2">
        <f>IFERROR(E5/F5,0)</f>
        <v/>
      </c>
      <c r="M5" s="2">
        <f>F5*(G5+H5)</f>
        <v/>
      </c>
      <c r="N5" s="2">
        <f>MAX(0,F5*(G5+H5+I5)-E5-K5)</f>
        <v/>
      </c>
      <c r="O5" s="2">
        <f>IF(E5+K5&lt;=L5,"REVIEW RESTOCK",IF(M5&lt;G5+H5+7,"MONITOR","OK"))</f>
        <v/>
      </c>
    </row>
  </sheetData>
  <autoFilter ref="A1:O5"/>
  <conditionalFormatting sqref="O2:O5">
    <cfRule type="cellIs" priority="1" operator="equal" dxfId="0">
      <formula>"REVIEW RESTOCK"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7" customWidth="1" min="4" max="4"/>
    <col width="17" customWidth="1" min="5" max="5"/>
    <col width="16" customWidth="1" min="6" max="6"/>
    <col width="19" customWidth="1" min="7" max="7"/>
    <col width="15" customWidth="1" min="8" max="8"/>
    <col width="20" customWidth="1" min="9" max="9"/>
    <col width="21" customWidth="1" min="10" max="10"/>
    <col width="20" customWidth="1" min="11" max="11"/>
    <col width="25" customWidth="1" min="12" max="12"/>
    <col width="20" customWidth="1" min="13" max="13"/>
  </cols>
  <sheetData>
    <row r="1" ht="32" customHeight="1">
      <c r="A1" s="1" t="inlineStr">
        <is>
          <t>SKU</t>
        </is>
      </c>
      <c r="B1" s="1" t="inlineStr">
        <is>
          <t>Product</t>
        </is>
      </c>
      <c r="C1" s="1" t="inlineStr">
        <is>
          <t>Fulfillment</t>
        </is>
      </c>
      <c r="D1" s="1" t="inlineStr">
        <is>
          <t>Available Units</t>
        </is>
      </c>
      <c r="E1" s="1" t="inlineStr">
        <is>
          <t>Avg Daily Sales</t>
        </is>
      </c>
      <c r="F1" s="1" t="inlineStr">
        <is>
          <t>Lead Time Days</t>
        </is>
      </c>
      <c r="G1" s="1" t="inlineStr">
        <is>
          <t>Safety Stock Days</t>
        </is>
      </c>
      <c r="H1" s="1" t="inlineStr">
        <is>
          <t>Inbound Units</t>
        </is>
      </c>
      <c r="I1" s="1" t="inlineStr">
        <is>
          <t>Days of Cover</t>
        </is>
      </c>
      <c r="J1" s="1" t="inlineStr">
        <is>
          <t>Reorder Point Units</t>
        </is>
      </c>
      <c r="K1" s="1" t="inlineStr">
        <is>
          <t>Target Stock Units</t>
        </is>
      </c>
      <c r="L1" s="1" t="inlineStr">
        <is>
          <t>Suggested Reorder Units</t>
        </is>
      </c>
      <c r="M1" s="1" t="inlineStr">
        <is>
          <t>Review Status</t>
        </is>
      </c>
    </row>
    <row r="2">
      <c r="A2" s="2" t="inlineStr">
        <is>
          <t>SKU-COF-001</t>
        </is>
      </c>
      <c r="B2" s="2" t="inlineStr">
        <is>
          <t>Stainless Coffee Tumbler 20oz</t>
        </is>
      </c>
      <c r="C2" s="2" t="inlineStr">
        <is>
          <t>FBA</t>
        </is>
      </c>
      <c r="D2" s="2" t="n">
        <v>185</v>
      </c>
      <c r="E2" s="2" t="n">
        <v>24</v>
      </c>
      <c r="F2" s="2" t="n">
        <v>12</v>
      </c>
      <c r="G2" s="2" t="n">
        <v>14</v>
      </c>
      <c r="H2" s="2" t="n">
        <v>4</v>
      </c>
      <c r="I2" s="2">
        <f>IFERROR(D2/E2,0)</f>
        <v/>
      </c>
      <c r="J2" s="2">
        <f>E2*(F2+G2)</f>
        <v/>
      </c>
      <c r="K2" s="2">
        <f>E2*(F2+G2+30)</f>
        <v/>
      </c>
      <c r="L2" s="2">
        <f>MAX(0,K2-D2-H2)</f>
        <v/>
      </c>
      <c r="M2" s="2">
        <f>IF(D2+H2&lt;=J2,"REVIEW RESTOCK",IF(I2&lt;F2+G2+7,"MONITOR","OK"))</f>
        <v/>
      </c>
    </row>
    <row r="3">
      <c r="A3" s="2" t="inlineStr">
        <is>
          <t>SKU-YOG-002</t>
        </is>
      </c>
      <c r="B3" s="2" t="inlineStr">
        <is>
          <t>Non-slip Yoga Mat</t>
        </is>
      </c>
      <c r="C3" s="2" t="inlineStr">
        <is>
          <t>FBA</t>
        </is>
      </c>
      <c r="D3" s="2" t="n">
        <v>42</v>
      </c>
      <c r="E3" s="2" t="n">
        <v>18</v>
      </c>
      <c r="F3" s="2" t="n">
        <v>9</v>
      </c>
      <c r="G3" s="2" t="n">
        <v>7</v>
      </c>
      <c r="H3" s="2" t="n">
        <v>5</v>
      </c>
      <c r="I3" s="2">
        <f>IFERROR(D3/E3,0)</f>
        <v/>
      </c>
      <c r="J3" s="2">
        <f>E3*(F3+G3)</f>
        <v/>
      </c>
      <c r="K3" s="2">
        <f>E3*(F3+G3+30)</f>
        <v/>
      </c>
      <c r="L3" s="2">
        <f>MAX(0,K3-D3-H3)</f>
        <v/>
      </c>
      <c r="M3" s="2">
        <f>IF(D3+H3&lt;=J3,"REVIEW RESTOCK",IF(I3&lt;F3+G3+7,"MONITOR","OK"))</f>
        <v/>
      </c>
    </row>
    <row r="4">
      <c r="A4" s="2" t="inlineStr">
        <is>
          <t>SKU-DES-003</t>
        </is>
      </c>
      <c r="B4" s="2" t="inlineStr">
        <is>
          <t>Desk Organizer Set</t>
        </is>
      </c>
      <c r="C4" s="2" t="inlineStr">
        <is>
          <t>FBA</t>
        </is>
      </c>
      <c r="D4" s="2" t="n">
        <v>96</v>
      </c>
      <c r="E4" s="2" t="n">
        <v>10</v>
      </c>
      <c r="F4" s="2" t="n">
        <v>5</v>
      </c>
      <c r="G4" s="2" t="n">
        <v>12</v>
      </c>
      <c r="H4" s="2" t="n">
        <v>7</v>
      </c>
      <c r="I4" s="2">
        <f>IFERROR(D4/E4,0)</f>
        <v/>
      </c>
      <c r="J4" s="2">
        <f>E4*(F4+G4)</f>
        <v/>
      </c>
      <c r="K4" s="2">
        <f>E4*(F4+G4+30)</f>
        <v/>
      </c>
      <c r="L4" s="2">
        <f>MAX(0,K4-D4-H4)</f>
        <v/>
      </c>
      <c r="M4" s="2">
        <f>IF(D4+H4&lt;=J4,"REVIEW RESTOCK",IF(I4&lt;F4+G4+7,"MONITOR","OK"))</f>
        <v/>
      </c>
    </row>
    <row r="5">
      <c r="A5" s="2" t="inlineStr">
        <is>
          <t>SKU-PET-004</t>
        </is>
      </c>
      <c r="B5" s="2" t="inlineStr">
        <is>
          <t>Pet Grooming Brush</t>
        </is>
      </c>
      <c r="C5" s="2" t="inlineStr">
        <is>
          <t>FBA</t>
        </is>
      </c>
      <c r="D5" s="2" t="n">
        <v>17</v>
      </c>
      <c r="E5" s="2" t="n">
        <v>15</v>
      </c>
      <c r="F5" s="2" t="n">
        <v>8</v>
      </c>
      <c r="G5" s="2" t="n">
        <v>6</v>
      </c>
      <c r="H5" s="2" t="n">
        <v>5</v>
      </c>
      <c r="I5" s="2">
        <f>IFERROR(D5/E5,0)</f>
        <v/>
      </c>
      <c r="J5" s="2">
        <f>E5*(F5+G5)</f>
        <v/>
      </c>
      <c r="K5" s="2">
        <f>E5*(F5+G5+30)</f>
        <v/>
      </c>
      <c r="L5" s="2">
        <f>MAX(0,K5-D5-H5)</f>
        <v/>
      </c>
      <c r="M5" s="2">
        <f>IF(D5+H5&lt;=J5,"REVIEW RESTOCK",IF(I5&lt;F5+G5+7,"MONITOR","OK"))</f>
        <v/>
      </c>
    </row>
    <row r="6">
      <c r="A6" s="2" t="inlineStr">
        <is>
          <t>SKU-KIT-005</t>
        </is>
      </c>
      <c r="B6" s="2" t="inlineStr">
        <is>
          <t>Silicone Kitchen Spatula Set</t>
        </is>
      </c>
      <c r="C6" s="2" t="inlineStr">
        <is>
          <t>FBA</t>
        </is>
      </c>
      <c r="D6" s="2" t="n">
        <v>260</v>
      </c>
      <c r="E6" s="2" t="n">
        <v>20</v>
      </c>
      <c r="F6" s="2" t="n">
        <v>10</v>
      </c>
      <c r="G6" s="2" t="n">
        <v>11</v>
      </c>
      <c r="H6" s="2" t="n">
        <v>6</v>
      </c>
      <c r="I6" s="2">
        <f>IFERROR(D6/E6,0)</f>
        <v/>
      </c>
      <c r="J6" s="2">
        <f>E6*(F6+G6)</f>
        <v/>
      </c>
      <c r="K6" s="2">
        <f>E6*(F6+G6+30)</f>
        <v/>
      </c>
      <c r="L6" s="2">
        <f>MAX(0,K6-D6-H6)</f>
        <v/>
      </c>
      <c r="M6" s="2">
        <f>IF(D6+H6&lt;=J6,"REVIEW RESTOCK",IF(I6&lt;F6+G6+7,"MONITOR","OK"))</f>
        <v/>
      </c>
    </row>
    <row r="7">
      <c r="A7" s="2" t="inlineStr">
        <is>
          <t>SKU-LMP-101</t>
        </is>
      </c>
      <c r="B7" s="2" t="inlineStr">
        <is>
          <t>LED Desk Lamp</t>
        </is>
      </c>
      <c r="C7" s="2" t="inlineStr">
        <is>
          <t>FBM</t>
        </is>
      </c>
      <c r="D7" s="2" t="n">
        <v>38</v>
      </c>
      <c r="E7" s="2" t="n">
        <v>8</v>
      </c>
      <c r="F7" s="2" t="n">
        <v>4</v>
      </c>
      <c r="G7" s="2" t="n">
        <v>9</v>
      </c>
      <c r="H7" s="2" t="n">
        <v>5</v>
      </c>
      <c r="I7" s="2">
        <f>IFERROR(D7/E7,0)</f>
        <v/>
      </c>
      <c r="J7" s="2">
        <f>E7*(F7+G7)</f>
        <v/>
      </c>
      <c r="K7" s="2">
        <f>E7*(F7+G7+30)</f>
        <v/>
      </c>
      <c r="L7" s="2">
        <f>MAX(0,K7-D7-H7)</f>
        <v/>
      </c>
      <c r="M7" s="2">
        <f>IF(D7+H7&lt;=J7,"REVIEW RESTOCK",IF(I7&lt;F7+G7+7,"MONITOR","OK"))</f>
        <v/>
      </c>
    </row>
    <row r="8">
      <c r="A8" s="2" t="inlineStr">
        <is>
          <t>SKU-CAB-102</t>
        </is>
      </c>
      <c r="B8" s="2" t="inlineStr">
        <is>
          <t>Cable Organizer Clips</t>
        </is>
      </c>
      <c r="C8" s="2" t="inlineStr">
        <is>
          <t>FBM</t>
        </is>
      </c>
      <c r="D8" s="2" t="n">
        <v>21</v>
      </c>
      <c r="E8" s="2" t="n">
        <v>12</v>
      </c>
      <c r="F8" s="2" t="n">
        <v>6</v>
      </c>
      <c r="G8" s="2" t="n">
        <v>6</v>
      </c>
      <c r="H8" s="2" t="n">
        <v>4</v>
      </c>
      <c r="I8" s="2">
        <f>IFERROR(D8/E8,0)</f>
        <v/>
      </c>
      <c r="J8" s="2">
        <f>E8*(F8+G8)</f>
        <v/>
      </c>
      <c r="K8" s="2">
        <f>E8*(F8+G8+30)</f>
        <v/>
      </c>
      <c r="L8" s="2">
        <f>MAX(0,K8-D8-H8)</f>
        <v/>
      </c>
      <c r="M8" s="2">
        <f>IF(D8+H8&lt;=J8,"REVIEW RESTOCK",IF(I8&lt;F8+G8+7,"MONITOR","OK"))</f>
        <v/>
      </c>
    </row>
    <row r="9">
      <c r="A9" s="2" t="inlineStr">
        <is>
          <t>SKU-BTL-103</t>
        </is>
      </c>
      <c r="B9" s="2" t="inlineStr">
        <is>
          <t>Reusable Water Bottle</t>
        </is>
      </c>
      <c r="C9" s="2" t="inlineStr">
        <is>
          <t>FBM</t>
        </is>
      </c>
      <c r="D9" s="2" t="n">
        <v>75</v>
      </c>
      <c r="E9" s="2" t="n">
        <v>9</v>
      </c>
      <c r="F9" s="2" t="n">
        <v>5</v>
      </c>
      <c r="G9" s="2" t="n">
        <v>8</v>
      </c>
      <c r="H9" s="2" t="n">
        <v>6</v>
      </c>
      <c r="I9" s="2">
        <f>IFERROR(D9/E9,0)</f>
        <v/>
      </c>
      <c r="J9" s="2">
        <f>E9*(F9+G9)</f>
        <v/>
      </c>
      <c r="K9" s="2">
        <f>E9*(F9+G9+30)</f>
        <v/>
      </c>
      <c r="L9" s="2">
        <f>MAX(0,K9-D9-H9)</f>
        <v/>
      </c>
      <c r="M9" s="2">
        <f>IF(D9+H9&lt;=J9,"REVIEW RESTOCK",IF(I9&lt;F9+G9+7,"MONITOR","OK"))</f>
        <v/>
      </c>
    </row>
    <row r="10">
      <c r="A10" s="2" t="inlineStr">
        <is>
          <t>SKU-NOT-104</t>
        </is>
      </c>
      <c r="B10" s="2" t="inlineStr">
        <is>
          <t>Notebook 3-Pack</t>
        </is>
      </c>
      <c r="C10" s="2" t="inlineStr">
        <is>
          <t>FBM</t>
        </is>
      </c>
      <c r="D10" s="2" t="n">
        <v>14</v>
      </c>
      <c r="E10" s="2" t="n">
        <v>7</v>
      </c>
      <c r="F10" s="2" t="n">
        <v>4</v>
      </c>
      <c r="G10" s="2" t="n">
        <v>5</v>
      </c>
      <c r="H10" s="2" t="n">
        <v>3</v>
      </c>
      <c r="I10" s="2">
        <f>IFERROR(D10/E10,0)</f>
        <v/>
      </c>
      <c r="J10" s="2">
        <f>E10*(F10+G10)</f>
        <v/>
      </c>
      <c r="K10" s="2">
        <f>E10*(F10+G10+30)</f>
        <v/>
      </c>
      <c r="L10" s="2">
        <f>MAX(0,K10-D10-H10)</f>
        <v/>
      </c>
      <c r="M10" s="2">
        <f>IF(D10+H10&lt;=J10,"REVIEW RESTOCK",IF(I10&lt;F10+G10+7,"MONITOR","OK"))</f>
        <v/>
      </c>
    </row>
  </sheetData>
  <autoFilter ref="A1:M10"/>
  <conditionalFormatting sqref="M2:M10">
    <cfRule type="cellIs" priority="1" operator="equal" dxfId="0">
      <formula>"REVIEW RESTOCK"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2026-10-29T04:46:28Z</dcterms:created>
  <dcterms:modified xmlns:dcterms="http://purl.org/dc/terms/" xmlns:xsi="http://www.w3.org/2001/XMLSchema-instance" xsi:type="dcterms:W3CDTF">2026-10-29T04:46:28Z</dcterms:modified>
</cp:coreProperties>
</file>